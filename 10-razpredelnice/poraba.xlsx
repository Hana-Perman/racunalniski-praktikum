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81651\racunalniski-praktikum\10-razpredelnice\"/>
    </mc:Choice>
  </mc:AlternateContent>
  <xr:revisionPtr revIDLastSave="0" documentId="13_ncr:1_{B6DAC200-F5B8-4CCE-B291-89B01FAB8E0F}" xr6:coauthVersionLast="47" xr6:coauthVersionMax="47" xr10:uidLastSave="{00000000-0000-0000-0000-000000000000}"/>
  <bookViews>
    <workbookView xWindow="5820" yWindow="2505" windowWidth="21600" windowHeight="11295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G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4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<sst xmlns="http://schemas.openxmlformats.org/spreadsheetml/2006/main" count="21" uniqueCount="20">
  <si>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</si>
  <si>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</si>
  <si>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</si>
  <si>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</si>
  <si>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</si>
  <si>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</si>
  <si>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</si>
  <si>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</si>
  <si>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</si>
  <si>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</si>
  <si>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</si>
  <si>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</si>
  <si>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</si>
  <si>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</si>
  <si>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</si>
  <si>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</si>
  <si>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Sum of Prevoženo</t>
  </si>
  <si>
    <t>Column Labels</t>
  </si>
  <si>
    <t>Values</t>
  </si>
  <si>
    <t>Average of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</si>
</sst>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70" formatCode="_([$€-2]\ * #,##0.00_);_([$€-2]\ * \(#,##0.00\);_([$€-2]\ * &quot;-&quot;??_);_(@_)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9">
    <dxf>
      <numFmt numFmtId="169" formatCode="0.000"/>
    </dxf>
    <dxf>
      <numFmt numFmtId="2" formatCode="0.00"/>
    </dxf>
    <dxf>
      <numFmt numFmtId="168" formatCode="0.0000"/>
    </dxf>
    <dxf>
      <numFmt numFmtId="167" formatCode="0.00000"/>
    </dxf>
    <dxf>
      <numFmt numFmtId="166" formatCode="0.000000"/>
    </dxf>
    <dxf>
      <numFmt numFmtId="172" formatCode="0.0000000"/>
    </dxf>
    <dxf>
      <numFmt numFmtId="171" formatCode="0.00000000"/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man, Hana" refreshedDate="45999.810254861113" createdVersion="7" refreshedVersion="7" minRefreshableVersion="3" recordCount="19" xr:uid="{3C93B289-AD93-4411-AE3B-97F856CF5753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70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String="0" containsBlank="1" containsNumber="1" minValue="6.3103953147877023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44"/>
  </r>
  <r>
    <x v="3"/>
    <n v="34.04"/>
    <n v="47.043279999999996"/>
    <n v="43696"/>
    <x v="3"/>
    <x v="3"/>
    <n v="6.6097087378640769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23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66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21"/>
  </r>
  <r>
    <x v="11"/>
    <n v="37.18"/>
    <n v="56.178979999999996"/>
    <n v="48407"/>
    <x v="11"/>
    <x v="11"/>
    <n v="6.8851851851851844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72"/>
  </r>
  <r>
    <x v="18"/>
    <n v="41.73"/>
    <n v="64.097279999999998"/>
    <n v="52176"/>
    <x v="18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6FDB9-D5DD-44AA-B58F-96380CA9BFD1}" name="PivotTable1" cacheId="4" dataOnRows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23:H26" firstHeaderRow="1" firstDataRow="2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70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um of Prevoženo" fld="4" baseField="7" baseItem="5"/>
    <dataField name="Average of Poraba" fld="5" subtotal="average" baseField="7" baseItem="5"/>
  </dataFields>
  <formats count="1">
    <format dxfId="1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8"/>
    <tableColumn id="2" xr3:uid="{6DC2697C-FCB3-8A47-945B-8CD05834AA8C}" uniqueName="2" name="Litri" queryTableFieldId="2" dataDxfId="17"/>
    <tableColumn id="3" xr3:uid="{19DBC541-3ADF-4E48-8786-6E42DA219788}" uniqueName="3" name="Plačano" queryTableFieldId="3" dataDxfId="16"/>
    <tableColumn id="4" xr3:uid="{3238A9AD-2FC0-0E49-9EE3-7019C05B366B}" uniqueName="4" name="Števec" queryTableFieldId="4" dataDxfId="15"/>
    <tableColumn id="5" xr3:uid="{E0B5480D-9C8F-CA4C-941D-AE9FDE0CDFDC}" uniqueName="5" name="Prevoženo" queryTableFieldId="5" dataDxfId="14"/>
    <tableColumn id="6" xr3:uid="{1DEAFC6B-8470-6742-BAB3-957B7429D133}" uniqueName="6" name="Poraba" queryTableFieldId="6" dataDxfId="13"/>
    <tableColumn id="11" xr3:uid="{911769A8-5CFE-8245-A64B-38797D90A3B5}" uniqueName="11" name="Prikaz" queryTableFieldId="11" dataDxfId="7">
      <calculatedColumnFormula>100 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2" tableBorderDxfId="11" totalsRowBorderDxfId="10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9"/>
    <tableColumn id="2" xr3:uid="{079EA12A-47EB-F54A-8E37-30D8BCE75150}" name="Bencin" dataDxfId="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tabSelected="1" topLeftCell="A16" zoomScale="120" zoomScaleNormal="120" workbookViewId="0">
      <selection activeCell="F29" sqref="F29"/>
    </sheetView>
  </sheetViews>
  <sheetFormatPr defaultColWidth="11.42578125" defaultRowHeight="15" x14ac:dyDescent="0.25"/>
  <cols>
    <col min="1" max="1" width="3.85546875" customWidth="1"/>
    <col min="2" max="2" width="17.42578125" bestFit="1" customWidth="1"/>
    <col min="3" max="3" width="16.28515625" bestFit="1" customWidth="1"/>
    <col min="4" max="6" width="12.85546875" bestFit="1" customWidth="1"/>
    <col min="7" max="7" width="11.85546875" bestFit="1" customWidth="1"/>
    <col min="8" max="9" width="12.85546875" bestFit="1" customWidth="1"/>
    <col min="10" max="10" width="11.85546875" bestFit="1" customWidth="1"/>
    <col min="11" max="11" width="10.71093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6">
        <f>INDEX(Table3[Bencin], MATCH(realna_poraba_cupra__2[[#This Row],[Datum]], Table3[Veljavnost] ))*realna_poraba_cupra__2[[#This Row],[Litri]]</f>
        <v>58.296720000000001</v>
      </c>
      <c r="E3" s="2">
        <v>41907</v>
      </c>
      <c r="F3" t="s">
        <v>4</v>
      </c>
      <c r="G3" t="s">
        <v>4</v>
      </c>
      <c r="H3" s="3"/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6">
        <f>INDEX(Table3[Bencin], MATCH(realna_poraba_cupra__2[[#This Row],[Datum]], Table3[Veljavnost] ))*realna_poraba_cupra__2[[#This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 *(realna_poraba_cupra__2[[#This Row],[Litri]]/realna_poraba_cupra__2[[#This Row],[Prevoženo]])</f>
        <v>7.006514657980456</v>
      </c>
      <c r="H4" s="3">
        <f>100 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6">
        <f>INDEX(Table3[Bencin], MATCH(realna_poraba_cupra__2[[#This Row],[Datum]], Table3[Veljavnost] ))*realna_poraba_cupra__2[[#This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 *(realna_poraba_cupra__2[[#This Row],[Litri]]/realna_poraba_cupra__2[[#This Row],[Prevoženo]])</f>
        <v>6.3136363636363644</v>
      </c>
      <c r="H5" s="3">
        <f>100 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6">
        <f>INDEX(Table3[Bencin], MATCH(realna_poraba_cupra__2[[#This Row],[Datum]], Table3[Veljavnost] ))*realna_poraba_cupra__2[[#This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 *(realna_poraba_cupra__2[[#This Row],[Litri]]/realna_poraba_cupra__2[[#This Row],[Prevoženo]])</f>
        <v>6.6097087378640769</v>
      </c>
      <c r="H6" s="3">
        <f>100 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6">
        <f>INDEX(Table3[Bencin], MATCH(realna_poraba_cupra__2[[#This Row],[Datum]], Table3[Veljavnost] ))*realna_poraba_cupra__2[[#This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 *(realna_poraba_cupra__2[[#This Row],[Litri]]/realna_poraba_cupra__2[[#This Row],[Prevoženo]])</f>
        <v>6.8640776699029127</v>
      </c>
      <c r="H7" s="3">
        <f>100 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6">
        <f>INDEX(Table3[Bencin], MATCH(realna_poraba_cupra__2[[#This Row],[Datum]], Table3[Veljavnost] ))*realna_poraba_cupra__2[[#This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 *(realna_poraba_cupra__2[[#This Row],[Litri]]/realna_poraba_cupra__2[[#This Row],[Prevoženo]])</f>
        <v>6.3103953147877023</v>
      </c>
      <c r="H8" s="3">
        <f>100 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6">
        <f>INDEX(Table3[Bencin], MATCH(realna_poraba_cupra__2[[#This Row],[Datum]], Table3[Veljavnost] ))*realna_poraba_cupra__2[[#This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 *(realna_poraba_cupra__2[[#This Row],[Litri]]/realna_poraba_cupra__2[[#This Row],[Prevoženo]])</f>
        <v>6.9544626593806917</v>
      </c>
      <c r="H9" s="3">
        <f>100 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6">
        <f>INDEX(Table3[Bencin], MATCH(realna_poraba_cupra__2[[#This Row],[Datum]], Table3[Veljavnost] ))*realna_poraba_cupra__2[[#This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 *(realna_poraba_cupra__2[[#This Row],[Litri]]/realna_poraba_cupra__2[[#This Row],[Prevoženo]])</f>
        <v>7.0103448275862066</v>
      </c>
      <c r="H10" s="3">
        <f>100 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6">
        <f>INDEX(Table3[Bencin], MATCH(realna_poraba_cupra__2[[#This Row],[Datum]], Table3[Veljavnost] ))*realna_poraba_cupra__2[[#This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 *(realna_poraba_cupra__2[[#This Row],[Litri]]/realna_poraba_cupra__2[[#This Row],[Prevoženo]])</f>
        <v>6.9821746880570412</v>
      </c>
      <c r="H11" s="3">
        <f>100 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6">
        <f>INDEX(Table3[Bencin], MATCH(realna_poraba_cupra__2[[#This Row],[Datum]], Table3[Veljavnost] ))*realna_poraba_cupra__2[[#This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 *(realna_poraba_cupra__2[[#This Row],[Litri]]/realna_poraba_cupra__2[[#This Row],[Prevoženo]])</f>
        <v>7.1563055062166967</v>
      </c>
      <c r="H12" s="3">
        <f>100 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6">
        <f>INDEX(Table3[Bencin], MATCH(realna_poraba_cupra__2[[#This Row],[Datum]], Table3[Veljavnost] ))*realna_poraba_cupra__2[[#This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 *(realna_poraba_cupra__2[[#This Row],[Litri]]/realna_poraba_cupra__2[[#This Row],[Prevoženo]])</f>
        <v>6.6466774716369521</v>
      </c>
      <c r="H13" s="3">
        <f>100 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6">
        <f>INDEX(Table3[Bencin], MATCH(realna_poraba_cupra__2[[#This Row],[Datum]], Table3[Veljavnost] ))*realna_poraba_cupra__2[[#This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 *(realna_poraba_cupra__2[[#This Row],[Litri]]/realna_poraba_cupra__2[[#This Row],[Prevoženo]])</f>
        <v>6.8851851851851844</v>
      </c>
      <c r="H14" s="3">
        <f>100 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6">
        <f>INDEX(Table3[Bencin], MATCH(realna_poraba_cupra__2[[#This Row],[Datum]], Table3[Veljavnost] ))*realna_poraba_cupra__2[[#This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 *(realna_poraba_cupra__2[[#This Row],[Litri]]/realna_poraba_cupra__2[[#This Row],[Prevoženo]])</f>
        <v>6.9331103678929766</v>
      </c>
      <c r="H15" s="3">
        <f>100 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6">
        <f>INDEX(Table3[Bencin], MATCH(realna_poraba_cupra__2[[#This Row],[Datum]], Table3[Veljavnost] ))*realna_poraba_cupra__2[[#This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 *(realna_poraba_cupra__2[[#This Row],[Litri]]/realna_poraba_cupra__2[[#This Row],[Prevoženo]])</f>
        <v>7.5726315789473686</v>
      </c>
      <c r="H16" s="3">
        <f>100 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6">
        <f>INDEX(Table3[Bencin], MATCH(realna_poraba_cupra__2[[#This Row],[Datum]], Table3[Veljavnost] ))*realna_poraba_cupra__2[[#This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 *(realna_poraba_cupra__2[[#This Row],[Litri]]/realna_poraba_cupra__2[[#This Row],[Prevoženo]])</f>
        <v>7.2819548872180455</v>
      </c>
      <c r="H17" s="3">
        <f>100 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6">
        <f>INDEX(Table3[Bencin], MATCH(realna_poraba_cupra__2[[#This Row],[Datum]], Table3[Veljavnost] ))*realna_poraba_cupra__2[[#This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 *(realna_poraba_cupra__2[[#This Row],[Litri]]/realna_poraba_cupra__2[[#This Row],[Prevoženo]])</f>
        <v>8.1008968609865484</v>
      </c>
      <c r="H18" s="3">
        <f>100 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6">
        <f>INDEX(Table3[Bencin], MATCH(realna_poraba_cupra__2[[#This Row],[Datum]], Table3[Veljavnost] ))*realna_poraba_cupra__2[[#This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 *(realna_poraba_cupra__2[[#This Row],[Litri]]/realna_poraba_cupra__2[[#This Row],[Prevoženo]])</f>
        <v>7.2251407129455911</v>
      </c>
      <c r="H19" s="3">
        <f>100 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6">
        <f>INDEX(Table3[Bencin], MATCH(realna_poraba_cupra__2[[#This Row],[Datum]], Table3[Veljavnost] ))*realna_poraba_cupra__2[[#This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 *(realna_poraba_cupra__2[[#This Row],[Litri]]/realna_poraba_cupra__2[[#This Row],[Prevoženo]])</f>
        <v>6.4518272425249172</v>
      </c>
      <c r="H20" s="3">
        <f>100 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6">
        <f>INDEX(Table3[Bencin], MATCH(realna_poraba_cupra__2[[#This Row],[Datum]], Table3[Veljavnost] ))*realna_poraba_cupra__2[[#This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 *(realna_poraba_cupra__2[[#This Row],[Litri]]/realna_poraba_cupra__2[[#This Row],[Prevoženo]])</f>
        <v>7.1578044596912509</v>
      </c>
      <c r="H21" s="3">
        <f>100 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7" t="s">
        <v>17</v>
      </c>
      <c r="J23" s="1">
        <v>45209</v>
      </c>
      <c r="K23" s="4">
        <v>1.536</v>
      </c>
    </row>
    <row r="24" spans="2:11" x14ac:dyDescent="0.25">
      <c r="B24" s="7" t="s">
        <v>18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1">
        <v>45223</v>
      </c>
      <c r="K24" s="4">
        <v>1.536</v>
      </c>
    </row>
    <row r="25" spans="2:11" x14ac:dyDescent="0.25">
      <c r="B25" s="8" t="s">
        <v>16</v>
      </c>
      <c r="C25" s="9">
        <v>1789</v>
      </c>
      <c r="D25" s="9">
        <v>1850</v>
      </c>
      <c r="E25" s="9">
        <v>2321</v>
      </c>
      <c r="F25" s="9">
        <v>1138</v>
      </c>
      <c r="G25" s="9">
        <v>1986</v>
      </c>
      <c r="H25" s="9">
        <v>1185</v>
      </c>
      <c r="J25" s="1">
        <v>45237</v>
      </c>
      <c r="K25" s="4">
        <v>1.534</v>
      </c>
    </row>
    <row r="26" spans="2:11" x14ac:dyDescent="0.25">
      <c r="B26" s="8" t="s">
        <v>19</v>
      </c>
      <c r="C26" s="3">
        <v>6.643286586493633</v>
      </c>
      <c r="D26" s="3">
        <v>6.7096452146904353</v>
      </c>
      <c r="E26" s="3">
        <v>6.9488756233742244</v>
      </c>
      <c r="F26" s="3">
        <v>6.909147776539081</v>
      </c>
      <c r="G26" s="3">
        <v>7.5451560100243888</v>
      </c>
      <c r="H26" s="3">
        <v>6.8048158511080841</v>
      </c>
    </row>
    <row r="27" spans="2:11" x14ac:dyDescent="0.25">
      <c r="E27" s="5"/>
    </row>
    <row r="28" spans="2:11" x14ac:dyDescent="0.25">
      <c r="E28" s="5"/>
    </row>
    <row r="29" spans="2:11" x14ac:dyDescent="0.25">
      <c r="E29" s="5"/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{32E21DB9-5117-4E6A-AE73-56AE3B5819F2}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E21DB9-5117-4E6A-AE73-56AE3B5819F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Perman, Hana</cp:lastModifiedBy>
  <dcterms:created xsi:type="dcterms:W3CDTF">2007-10-01T06:54:22Z</dcterms:created>
  <dcterms:modified xsi:type="dcterms:W3CDTF">2025-12-08T18:31:39Z</dcterms:modified>
</cp:coreProperties>
</file>